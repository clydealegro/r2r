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 Reality" sheetId="1" state="visible" r:id="rId3"/>
    <sheet name="Scenario Comparison" sheetId="2" state="visible" r:id="rId4"/>
    <sheet name="90-Day Action Pl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<sst xmlns="http://schemas.openxmlformats.org/spreadsheetml/2006/main" count="138" uniqueCount="106">
  <si>
    <t xml:space="preserve">YOUR FINANCIAL REALITY CHECK</t>
  </si>
  <si>
    <t xml:space="preserve">INCOME SOURCES</t>
  </si>
  <si>
    <t xml:space="preserve">Source</t>
  </si>
  <si>
    <t xml:space="preserve">Monthly Pay</t>
  </si>
  <si>
    <t xml:space="preserve">Hours/Week</t>
  </si>
  <si>
    <t xml:space="preserve">Weeks/Month</t>
  </si>
  <si>
    <t xml:space="preserve">Effective $/Hour</t>
  </si>
  <si>
    <t xml:space="preserve">Fintech Webflow Dev (40hrs/wk)</t>
  </si>
  <si>
    <t xml:space="preserve">Startup Product Designer (17hrs/wk)</t>
  </si>
  <si>
    <t xml:space="preserve">Side Projects (sporadic)</t>
  </si>
  <si>
    <t xml:space="preserve">TOTAL</t>
  </si>
  <si>
    <t xml:space="preserve">MONTHLY EXPENSES (estimate — update with your real numbers)</t>
  </si>
  <si>
    <t xml:space="preserve">Rent / Housing</t>
  </si>
  <si>
    <t xml:space="preserve">Utilities &amp; Internet</t>
  </si>
  <si>
    <t xml:space="preserve">Food &amp; Groceries</t>
  </si>
  <si>
    <t xml:space="preserve">Transportation</t>
  </si>
  <si>
    <t xml:space="preserve">Subscriptions &amp; Tools</t>
  </si>
  <si>
    <t xml:space="preserve">Insurance</t>
  </si>
  <si>
    <t xml:space="preserve">Debt Payments</t>
  </si>
  <si>
    <t xml:space="preserve">Personal / Misc</t>
  </si>
  <si>
    <t xml:space="preserve">TOTAL EXPENSES</t>
  </si>
  <si>
    <t xml:space="preserve">THE TRUTH IN NUMBERS</t>
  </si>
  <si>
    <t xml:space="preserve">Monthly Surplus / Deficit</t>
  </si>
  <si>
    <t xml:space="preserve">Total Hours Worked Per Week</t>
  </si>
  <si>
    <t xml:space="preserve">Blended Effective Hourly Rate</t>
  </si>
  <si>
    <t xml:space="preserve">Annual Income (at current pace)</t>
  </si>
  <si>
    <t xml:space="preserve">^ Blue numbers are YOUR inputs — update them with your real figures.</t>
  </si>
  <si>
    <t xml:space="preserve">WHAT HAPPENS WHEN YOU MAKE A MOVE</t>
  </si>
  <si>
    <t xml:space="preserve">SCENARIO A
Stay As-Is</t>
  </si>
  <si>
    <t xml:space="preserve">SCENARIO B
Drop Design Role
+ 1 Project/Month</t>
  </si>
  <si>
    <t xml:space="preserve">SCENARIO C
Drop Design Role
+ Raise Rate 30%
+ 1 Project/Month</t>
  </si>
  <si>
    <t xml:space="preserve">Fintech Role Income</t>
  </si>
  <si>
    <t xml:space="preserve">Design Role Income</t>
  </si>
  <si>
    <t xml:space="preserve">Side Projects Income</t>
  </si>
  <si>
    <t xml:space="preserve">Productized Project (1/mo)</t>
  </si>
  <si>
    <t xml:space="preserve">TOTAL MONTHLY INCOME</t>
  </si>
  <si>
    <t xml:space="preserve">Monthly Expenses</t>
  </si>
  <si>
    <t xml:space="preserve">Fintech Hours/Week</t>
  </si>
  <si>
    <t xml:space="preserve">Design Role Hours/Week</t>
  </si>
  <si>
    <t xml:space="preserve">Side Projects Hours/Week</t>
  </si>
  <si>
    <t xml:space="preserve">Productized Project Hrs/Week</t>
  </si>
  <si>
    <t xml:space="preserve">TOTAL HOURS/WEEK</t>
  </si>
  <si>
    <t xml:space="preserve">Effective Hourly Rate</t>
  </si>
  <si>
    <t xml:space="preserve">ANNUAL INCOME</t>
  </si>
  <si>
    <t xml:space="preserve">Hours Freed Per Week</t>
  </si>
  <si>
    <t xml:space="preserve">WHAT THE NUMBERS SAY</t>
  </si>
  <si>
    <t xml:space="preserve">Scenario B: Drop the $1,250/mo design role, land ONE $5,000 Webflow project per month.</t>
  </si>
  <si>
    <t xml:space="preserve">Result: You earn significantly MORE, work FEWER hours, and free up ~17 hrs/week.</t>
  </si>
  <si>
    <t xml:space="preserve">Scenario C: Same as B, plus negotiate a 30% raise at fintech (still below market rate).</t>
  </si>
  <si>
    <t xml:space="preserve">That freed time is your runway to build a product or scale your offer.</t>
  </si>
  <si>
    <t xml:space="preserve">The design role costs you ~$17/hr. A single productized project at $5K for ~40hrs = $125/hr.</t>
  </si>
  <si>
    <t xml:space="preserve">You are currently trading $125/hr time for $17/hr work. That is the real cost.</t>
  </si>
  <si>
    <t xml:space="preserve">YOUR 90-DAY ESCAPE PLAN</t>
  </si>
  <si>
    <t xml:space="preserve">WEEKS 1-2: FOUNDATION</t>
  </si>
  <si>
    <t xml:space="preserve">Status</t>
  </si>
  <si>
    <t xml:space="preserve">Action</t>
  </si>
  <si>
    <t xml:space="preserve">Details</t>
  </si>
  <si>
    <t xml:space="preserve">Target</t>
  </si>
  <si>
    <t xml:space="preserve">[ ]</t>
  </si>
  <si>
    <t xml:space="preserve">Calculate exact numbers</t>
  </si>
  <si>
    <t xml:space="preserve">Fill in Sheet 1 with real figures</t>
  </si>
  <si>
    <t xml:space="preserve">This week</t>
  </si>
  <si>
    <t xml:space="preserve">Define productized offer</t>
  </si>
  <si>
    <t xml:space="preserve">"Webflow marketing sites for SaaS/fintech — $5-7K, 2-3 weeks"</t>
  </si>
  <si>
    <t xml:space="preserve">Week 1</t>
  </si>
  <si>
    <t xml:space="preserve">Build simple portfolio page</t>
  </si>
  <si>
    <t xml:space="preserve">3-5 best Webflow projects, results-focused</t>
  </si>
  <si>
    <t xml:space="preserve">Week 2</t>
  </si>
  <si>
    <t xml:space="preserve">Draft rate increase request</t>
  </si>
  <si>
    <t xml:space="preserve">For fintech role — aim for 30% increase</t>
  </si>
  <si>
    <t xml:space="preserve">WEEKS 3-4: POSITIONING</t>
  </si>
  <si>
    <t xml:space="preserve">Send rate increase request</t>
  </si>
  <si>
    <t xml:space="preserve">Professional, value-based conversation</t>
  </si>
  <si>
    <t xml:space="preserve">Week 3</t>
  </si>
  <si>
    <t xml:space="preserve">Create LinkedIn content plan</t>
  </si>
  <si>
    <t xml:space="preserve">2 posts/week about Webflow + SaaS marketing</t>
  </si>
  <si>
    <t xml:space="preserve">Identify 30 target prospects</t>
  </si>
  <si>
    <t xml:space="preserve">Funded SaaS startups needing marketing sites</t>
  </si>
  <si>
    <t xml:space="preserve">Week 4</t>
  </si>
  <si>
    <t xml:space="preserve">Begin outbound outreach</t>
  </si>
  <si>
    <t xml:space="preserve">10 personalized messages per week</t>
  </si>
  <si>
    <t xml:space="preserve">WEEKS 5-8: FIRST CLIENT</t>
  </si>
  <si>
    <t xml:space="preserve">Land first productized project</t>
  </si>
  <si>
    <t xml:space="preserve">Goal: 1 client at $5,000+</t>
  </si>
  <si>
    <t xml:space="preserve">Week 5-8</t>
  </si>
  <si>
    <t xml:space="preserve">Give notice on design role</t>
  </si>
  <si>
    <t xml:space="preserve">Once first project is signed or in pipeline</t>
  </si>
  <si>
    <t xml:space="preserve">Week 6-8</t>
  </si>
  <si>
    <t xml:space="preserve">Deliver exceptional first project</t>
  </si>
  <si>
    <t xml:space="preserve">This becomes your case study + referral source</t>
  </si>
  <si>
    <t xml:space="preserve">Document your process</t>
  </si>
  <si>
    <t xml:space="preserve">Template everything for faster delivery next time</t>
  </si>
  <si>
    <t xml:space="preserve">Ongoing</t>
  </si>
  <si>
    <t xml:space="preserve">WEEKS 9-12: SCALE</t>
  </si>
  <si>
    <t xml:space="preserve">Land second project client</t>
  </si>
  <si>
    <t xml:space="preserve">Goal: consistent 1 project/month minimum</t>
  </si>
  <si>
    <t xml:space="preserve">Week 9-10</t>
  </si>
  <si>
    <t xml:space="preserve">Build referral system</t>
  </si>
  <si>
    <t xml:space="preserve">Ask first client for intro to 2 others</t>
  </si>
  <si>
    <t xml:space="preserve">Week 10</t>
  </si>
  <si>
    <t xml:space="preserve">Evaluate product opportunities</t>
  </si>
  <si>
    <t xml:space="preserve">What problems did you see across clients?</t>
  </si>
  <si>
    <t xml:space="preserve">Week 11</t>
  </si>
  <si>
    <t xml:space="preserve">Plan next quarter</t>
  </si>
  <si>
    <t xml:space="preserve">Double down on what's working</t>
  </si>
  <si>
    <t xml:space="preserve">Week 12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</si>
</sst>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.00"/>
    <numFmt numFmtId="167" formatCode="\$#,##0;&quot;($&quot;#,##0\);\-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i val="true"/>
      <sz val="9"/>
      <color rgb="FF0000FF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i val="true"/>
      <sz val="10"/>
      <color rgb="FF333333"/>
      <name val="Arial"/>
      <family val="0"/>
      <charset val="1"/>
    </font>
    <font>
      <b val="true"/>
      <i val="true"/>
      <sz val="10"/>
      <color rgb="FFC0392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66666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B2A4A"/>
        <bgColor rgb="FF333333"/>
      </patternFill>
    </fill>
    <fill>
      <patternFill patternType="solid">
        <fgColor rgb="FFE0E3EB"/>
        <bgColor rgb="FFD5E8D4"/>
      </patternFill>
    </fill>
    <fill>
      <patternFill patternType="solid">
        <fgColor rgb="FF2D5AA0"/>
        <bgColor rgb="FF333399"/>
      </patternFill>
    </fill>
    <fill>
      <patternFill patternType="solid">
        <fgColor rgb="FFEBF5FB"/>
        <bgColor rgb="FFFFFFFF"/>
      </patternFill>
    </fill>
    <fill>
      <patternFill patternType="solid">
        <fgColor rgb="FFD5E8D4"/>
        <bgColor rgb="FFE0E3EB"/>
      </patternFill>
    </fill>
    <fill>
      <patternFill patternType="solid">
        <fgColor rgb="FFFADBD8"/>
        <bgColor rgb="FFE0E3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5FB"/>
      <rgbColor rgb="FF660066"/>
      <rgbColor rgb="FFFF8080"/>
      <rgbColor rgb="FF2D5AA0"/>
      <rgbColor rgb="FFE0E3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2A4A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8"/>
    <col collapsed="false" customWidth="true" hidden="false" outlineLevel="0" max="7" min="7" style="0" width="3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customFormat="false" ht="15" hidden="false" customHeight="false" outlineLevel="0" collapsed="false">
      <c r="B6" s="4" t="s">
        <v>7</v>
      </c>
      <c r="C6" s="5" t="n">
        <v>2500</v>
      </c>
      <c r="D6" s="6" t="n">
        <v>40</v>
      </c>
      <c r="E6" s="4" t="n">
        <v>4.33</v>
      </c>
      <c r="F6" s="7" t="n">
        <f aca="false">IF(C6&gt;0,C6/(D6*E6),0)</f>
        <v>14.4341801385681</v>
      </c>
    </row>
    <row r="7" customFormat="false" ht="15" hidden="false" customHeight="false" outlineLevel="0" collapsed="false">
      <c r="B7" s="4" t="s">
        <v>8</v>
      </c>
      <c r="C7" s="5" t="n">
        <v>1250</v>
      </c>
      <c r="D7" s="6" t="n">
        <v>17</v>
      </c>
      <c r="E7" s="4" t="n">
        <v>4.33</v>
      </c>
      <c r="F7" s="7" t="n">
        <f aca="false">IF(C7&gt;0,C7/(D7*E7),0)</f>
        <v>16.9813883983154</v>
      </c>
    </row>
    <row r="8" customFormat="false" ht="15" hidden="false" customHeight="false" outlineLevel="0" collapsed="false">
      <c r="B8" s="4" t="s">
        <v>9</v>
      </c>
      <c r="C8" s="5" t="n">
        <v>500</v>
      </c>
      <c r="D8" s="6" t="n">
        <v>8</v>
      </c>
      <c r="E8" s="4" t="n">
        <v>4.33</v>
      </c>
      <c r="F8" s="7" t="n">
        <f aca="false">IF(C8&gt;0,C8/(D8*E8),0)</f>
        <v>14.4341801385681</v>
      </c>
    </row>
    <row r="9" customFormat="false" ht="15" hidden="false" customHeight="false" outlineLevel="0" collapsed="false">
      <c r="B9" s="8" t="s">
        <v>10</v>
      </c>
      <c r="C9" s="9" t="n">
        <f aca="false">SUM(C6:C8)</f>
        <v>4250</v>
      </c>
      <c r="D9" s="10" t="n">
        <f aca="false">SUM(D6:D8)</f>
        <v>65</v>
      </c>
      <c r="E9" s="11" t="n">
        <v>4.33</v>
      </c>
      <c r="F9" s="12" t="n">
        <f aca="false">IF(C9&gt;0,C9/(D9*E9),0)</f>
        <v>15.1003730680405</v>
      </c>
    </row>
    <row r="11" customFormat="false" ht="15" hidden="false" customHeight="false" outlineLevel="0" collapsed="false">
      <c r="B11" s="2" t="s">
        <v>11</v>
      </c>
      <c r="C11" s="2"/>
      <c r="D11" s="2"/>
      <c r="E11" s="2"/>
      <c r="F11" s="2"/>
    </row>
    <row r="12" customFormat="false" ht="15" hidden="false" customHeight="false" outlineLevel="0" collapsed="false">
      <c r="B12" s="4" t="s">
        <v>12</v>
      </c>
      <c r="C12" s="5" t="n">
        <v>1500</v>
      </c>
      <c r="D12" s="13"/>
      <c r="E12" s="13"/>
      <c r="F12" s="13"/>
    </row>
    <row r="13" customFormat="false" ht="15" hidden="false" customHeight="false" outlineLevel="0" collapsed="false">
      <c r="B13" s="4" t="s">
        <v>13</v>
      </c>
      <c r="C13" s="5" t="n">
        <v>200</v>
      </c>
      <c r="D13" s="13"/>
      <c r="E13" s="13"/>
      <c r="F13" s="13"/>
    </row>
    <row r="14" customFormat="false" ht="15" hidden="false" customHeight="false" outlineLevel="0" collapsed="false">
      <c r="B14" s="4" t="s">
        <v>14</v>
      </c>
      <c r="C14" s="5" t="n">
        <v>400</v>
      </c>
      <c r="D14" s="13"/>
      <c r="E14" s="13"/>
      <c r="F14" s="13"/>
    </row>
    <row r="15" customFormat="false" ht="15" hidden="false" customHeight="false" outlineLevel="0" collapsed="false">
      <c r="B15" s="4" t="s">
        <v>15</v>
      </c>
      <c r="C15" s="5" t="n">
        <v>150</v>
      </c>
      <c r="D15" s="13"/>
      <c r="E15" s="13"/>
      <c r="F15" s="13"/>
    </row>
    <row r="16" customFormat="false" ht="15" hidden="false" customHeight="false" outlineLevel="0" collapsed="false">
      <c r="B16" s="4" t="s">
        <v>16</v>
      </c>
      <c r="C16" s="5" t="n">
        <v>100</v>
      </c>
      <c r="D16" s="13"/>
      <c r="E16" s="13"/>
      <c r="F16" s="13"/>
    </row>
    <row r="17" customFormat="false" ht="15" hidden="false" customHeight="false" outlineLevel="0" collapsed="false">
      <c r="B17" s="4" t="s">
        <v>17</v>
      </c>
      <c r="C17" s="5" t="n">
        <v>200</v>
      </c>
      <c r="D17" s="13"/>
      <c r="E17" s="13"/>
      <c r="F17" s="13"/>
    </row>
    <row r="18" customFormat="false" ht="15" hidden="false" customHeight="false" outlineLevel="0" collapsed="false">
      <c r="B18" s="4" t="s">
        <v>18</v>
      </c>
      <c r="C18" s="5" t="n">
        <v>200</v>
      </c>
      <c r="D18" s="13"/>
      <c r="E18" s="13"/>
      <c r="F18" s="13"/>
    </row>
    <row r="19" customFormat="false" ht="15" hidden="false" customHeight="false" outlineLevel="0" collapsed="false">
      <c r="B19" s="4" t="s">
        <v>19</v>
      </c>
      <c r="C19" s="5" t="n">
        <v>250</v>
      </c>
      <c r="D19" s="13"/>
      <c r="E19" s="13"/>
      <c r="F19" s="13"/>
    </row>
    <row r="20" customFormat="false" ht="15" hidden="false" customHeight="false" outlineLevel="0" collapsed="false">
      <c r="B20" s="14" t="s">
        <v>20</v>
      </c>
      <c r="C20" s="15" t="n">
        <f aca="false">SUM(C12:C19)</f>
        <v>3000</v>
      </c>
      <c r="D20" s="16"/>
      <c r="E20" s="16"/>
      <c r="F20" s="16"/>
    </row>
    <row r="22" customFormat="false" ht="15" hidden="false" customHeight="false" outlineLevel="0" collapsed="false">
      <c r="B22" s="2" t="s">
        <v>21</v>
      </c>
      <c r="C22" s="2"/>
      <c r="D22" s="2"/>
      <c r="E22" s="2"/>
      <c r="F22" s="2"/>
    </row>
    <row r="23" customFormat="false" ht="17.35" hidden="false" customHeight="false" outlineLevel="0" collapsed="false">
      <c r="B23" s="17" t="s">
        <v>22</v>
      </c>
      <c r="C23" s="18" t="n">
        <f aca="false">C9-C20</f>
        <v>1250</v>
      </c>
      <c r="D23" s="13"/>
      <c r="E23" s="13"/>
      <c r="F23" s="13"/>
    </row>
    <row r="24" customFormat="false" ht="17.35" hidden="false" customHeight="false" outlineLevel="0" collapsed="false">
      <c r="B24" s="17" t="s">
        <v>23</v>
      </c>
      <c r="C24" s="19" t="n">
        <f aca="false">D9</f>
        <v>65</v>
      </c>
      <c r="D24" s="13"/>
      <c r="E24" s="13"/>
      <c r="F24" s="13"/>
    </row>
    <row r="25" customFormat="false" ht="17.35" hidden="false" customHeight="false" outlineLevel="0" collapsed="false">
      <c r="B25" s="17" t="s">
        <v>24</v>
      </c>
      <c r="C25" s="20" t="n">
        <f aca="false">F9</f>
        <v>15.1003730680405</v>
      </c>
      <c r="D25" s="13"/>
      <c r="E25" s="13"/>
      <c r="F25" s="13"/>
    </row>
    <row r="26" customFormat="false" ht="17.35" hidden="false" customHeight="false" outlineLevel="0" collapsed="false">
      <c r="B26" s="17" t="s">
        <v>25</v>
      </c>
      <c r="C26" s="21" t="n">
        <f aca="false">C9*12</f>
        <v>51000</v>
      </c>
      <c r="D26" s="13"/>
      <c r="E26" s="13"/>
      <c r="F26" s="13"/>
    </row>
    <row r="28" customFormat="false" ht="15" hidden="false" customHeight="false" outlineLevel="0" collapsed="false">
      <c r="B28" s="22" t="s">
        <v>26</v>
      </c>
      <c r="C28" s="22"/>
      <c r="D28" s="22"/>
      <c r="E28" s="22"/>
      <c r="F28" s="22"/>
    </row>
  </sheetData>
  <mergeCells count="5">
    <mergeCell ref="B2:F2"/>
    <mergeCell ref="B4:F4"/>
    <mergeCell ref="B11:F11"/>
    <mergeCell ref="B22:F22"/>
    <mergeCell ref="B28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22"/>
    <col collapsed="false" customWidth="true" hidden="false" outlineLevel="0" max="6" min="6" style="0" width="3"/>
  </cols>
  <sheetData>
    <row r="2" customFormat="false" ht="39.75" hidden="false" customHeight="true" outlineLevel="0" collapsed="false">
      <c r="B2" s="1" t="s">
        <v>27</v>
      </c>
      <c r="C2" s="1"/>
      <c r="D2" s="1"/>
      <c r="E2" s="1"/>
    </row>
    <row r="4" customFormat="false" ht="60" hidden="false" customHeight="true" outlineLevel="0" collapsed="false">
      <c r="B4" s="23"/>
      <c r="C4" s="23" t="s">
        <v>28</v>
      </c>
      <c r="D4" s="23" t="s">
        <v>29</v>
      </c>
      <c r="E4" s="23" t="s">
        <v>30</v>
      </c>
    </row>
    <row r="5" customFormat="false" ht="15" hidden="false" customHeight="false" outlineLevel="0" collapsed="false">
      <c r="B5" s="4" t="s">
        <v>31</v>
      </c>
      <c r="C5" s="24" t="n">
        <f aca="false">'Current Reality'!C6</f>
        <v>2500</v>
      </c>
      <c r="D5" s="24" t="n">
        <f aca="false">'Current Reality'!C6</f>
        <v>2500</v>
      </c>
      <c r="E5" s="24" t="n">
        <f aca="false">'Current Reality'!C6*1.3</f>
        <v>3250</v>
      </c>
    </row>
    <row r="6" customFormat="false" ht="15" hidden="false" customHeight="false" outlineLevel="0" collapsed="false">
      <c r="B6" s="4" t="s">
        <v>32</v>
      </c>
      <c r="C6" s="24" t="n">
        <f aca="false">'Current Reality'!C7</f>
        <v>1250</v>
      </c>
      <c r="D6" s="24" t="n">
        <v>0</v>
      </c>
      <c r="E6" s="24" t="n">
        <v>0</v>
      </c>
    </row>
    <row r="7" customFormat="false" ht="15" hidden="false" customHeight="false" outlineLevel="0" collapsed="false">
      <c r="B7" s="4" t="s">
        <v>33</v>
      </c>
      <c r="C7" s="24" t="n">
        <f aca="false">'Current Reality'!C8</f>
        <v>500</v>
      </c>
      <c r="D7" s="24" t="n">
        <f aca="false">'Current Reality'!C8</f>
        <v>500</v>
      </c>
      <c r="E7" s="24" t="n">
        <f aca="false">'Current Reality'!C8</f>
        <v>500</v>
      </c>
    </row>
    <row r="8" customFormat="false" ht="15" hidden="false" customHeight="false" outlineLevel="0" collapsed="false">
      <c r="B8" s="4" t="s">
        <v>34</v>
      </c>
      <c r="C8" s="24" t="n">
        <v>0</v>
      </c>
      <c r="D8" s="24" t="n">
        <v>5000</v>
      </c>
      <c r="E8" s="24" t="n">
        <v>5000</v>
      </c>
    </row>
    <row r="9" customFormat="false" ht="15" hidden="false" customHeight="false" outlineLevel="0" collapsed="false">
      <c r="B9" s="4"/>
      <c r="C9" s="24"/>
      <c r="D9" s="24"/>
      <c r="E9" s="24"/>
    </row>
    <row r="10" customFormat="false" ht="15" hidden="false" customHeight="false" outlineLevel="0" collapsed="false">
      <c r="B10" s="8" t="s">
        <v>35</v>
      </c>
      <c r="C10" s="25" t="n">
        <f aca="false">SUM(C5:C8)</f>
        <v>4250</v>
      </c>
      <c r="D10" s="25" t="n">
        <f aca="false">SUM(D5:D8)</f>
        <v>8000</v>
      </c>
      <c r="E10" s="25" t="n">
        <f aca="false">SUM(E5:E8)</f>
        <v>8750</v>
      </c>
    </row>
    <row r="11" customFormat="false" ht="15" hidden="false" customHeight="false" outlineLevel="0" collapsed="false">
      <c r="B11" s="4" t="s">
        <v>36</v>
      </c>
      <c r="C11" s="24" t="n">
        <f aca="false">'Current Reality'!C20</f>
        <v>3000</v>
      </c>
      <c r="D11" s="24" t="n">
        <f aca="false">'Current Reality'!C20</f>
        <v>3000</v>
      </c>
      <c r="E11" s="24" t="n">
        <f aca="false">'Current Reality'!C20</f>
        <v>3000</v>
      </c>
    </row>
    <row r="12" customFormat="false" ht="15" hidden="false" customHeight="false" outlineLevel="0" collapsed="false">
      <c r="B12" s="17" t="s">
        <v>22</v>
      </c>
      <c r="C12" s="26" t="n">
        <f aca="false">C10-C11</f>
        <v>1250</v>
      </c>
      <c r="D12" s="26" t="n">
        <f aca="false">D10-D11</f>
        <v>5000</v>
      </c>
      <c r="E12" s="26" t="n">
        <f aca="false">E10-E11</f>
        <v>5750</v>
      </c>
    </row>
    <row r="13" customFormat="false" ht="15" hidden="false" customHeight="false" outlineLevel="0" collapsed="false">
      <c r="B13" s="4"/>
      <c r="C13" s="24"/>
      <c r="D13" s="24"/>
      <c r="E13" s="24"/>
    </row>
    <row r="14" customFormat="false" ht="15" hidden="false" customHeight="false" outlineLevel="0" collapsed="false">
      <c r="B14" s="4" t="s">
        <v>37</v>
      </c>
      <c r="C14" s="24" t="n">
        <f aca="false">'Current Reality'!D6</f>
        <v>40</v>
      </c>
      <c r="D14" s="24" t="n">
        <f aca="false">'Current Reality'!D6</f>
        <v>40</v>
      </c>
      <c r="E14" s="24" t="n">
        <f aca="false">'Current Reality'!D6</f>
        <v>40</v>
      </c>
    </row>
    <row r="15" customFormat="false" ht="15" hidden="false" customHeight="false" outlineLevel="0" collapsed="false">
      <c r="B15" s="4" t="s">
        <v>38</v>
      </c>
      <c r="C15" s="24" t="n">
        <f aca="false">'Current Reality'!D7</f>
        <v>17</v>
      </c>
      <c r="D15" s="24" t="n">
        <v>0</v>
      </c>
      <c r="E15" s="24" t="n">
        <v>0</v>
      </c>
    </row>
    <row r="16" customFormat="false" ht="15" hidden="false" customHeight="false" outlineLevel="0" collapsed="false">
      <c r="B16" s="4" t="s">
        <v>39</v>
      </c>
      <c r="C16" s="24" t="n">
        <f aca="false">'Current Reality'!D8</f>
        <v>8</v>
      </c>
      <c r="D16" s="24" t="n">
        <f aca="false">'Current Reality'!D8</f>
        <v>8</v>
      </c>
      <c r="E16" s="24" t="n">
        <f aca="false">'Current Reality'!D8</f>
        <v>8</v>
      </c>
    </row>
    <row r="17" customFormat="false" ht="15" hidden="false" customHeight="false" outlineLevel="0" collapsed="false">
      <c r="B17" s="4" t="s">
        <v>40</v>
      </c>
      <c r="C17" s="24" t="n">
        <v>0</v>
      </c>
      <c r="D17" s="24" t="n">
        <v>10</v>
      </c>
      <c r="E17" s="24" t="n">
        <v>10</v>
      </c>
    </row>
    <row r="18" customFormat="false" ht="15" hidden="false" customHeight="false" outlineLevel="0" collapsed="false">
      <c r="B18" s="4"/>
      <c r="C18" s="24"/>
      <c r="D18" s="24"/>
      <c r="E18" s="24"/>
    </row>
    <row r="19" customFormat="false" ht="15" hidden="false" customHeight="false" outlineLevel="0" collapsed="false">
      <c r="B19" s="8" t="s">
        <v>41</v>
      </c>
      <c r="C19" s="25" t="n">
        <f aca="false">SUM(C14:C17)</f>
        <v>65</v>
      </c>
      <c r="D19" s="25" t="n">
        <f aca="false">SUM(D14:D17)</f>
        <v>58</v>
      </c>
      <c r="E19" s="25" t="n">
        <f aca="false">SUM(E14:E17)</f>
        <v>58</v>
      </c>
    </row>
    <row r="20" customFormat="false" ht="15" hidden="false" customHeight="false" outlineLevel="0" collapsed="false">
      <c r="B20" s="4" t="s">
        <v>42</v>
      </c>
      <c r="C20" s="27" t="n">
        <f aca="false">IF(C19&gt;0,C10/(C19*4.33),0)</f>
        <v>15.1003730680405</v>
      </c>
      <c r="D20" s="27" t="n">
        <f aca="false">IF(D19&gt;0,D10/(D19*4.33),0)</f>
        <v>31.854742374771</v>
      </c>
      <c r="E20" s="27" t="n">
        <f aca="false">IF(E19&gt;0,E10/(E19*4.33),0)</f>
        <v>34.8411244724058</v>
      </c>
    </row>
    <row r="21" customFormat="false" ht="15" hidden="false" customHeight="false" outlineLevel="0" collapsed="false">
      <c r="B21" s="4"/>
      <c r="C21" s="24"/>
      <c r="D21" s="24"/>
      <c r="E21" s="24"/>
    </row>
    <row r="22" customFormat="false" ht="15" hidden="false" customHeight="false" outlineLevel="0" collapsed="false">
      <c r="B22" s="8" t="s">
        <v>43</v>
      </c>
      <c r="C22" s="25" t="n">
        <f aca="false">C10*12</f>
        <v>51000</v>
      </c>
      <c r="D22" s="25" t="n">
        <f aca="false">D10*12</f>
        <v>96000</v>
      </c>
      <c r="E22" s="25" t="n">
        <f aca="false">E10*12</f>
        <v>105000</v>
      </c>
    </row>
    <row r="23" customFormat="false" ht="15" hidden="false" customHeight="false" outlineLevel="0" collapsed="false">
      <c r="B23" s="4" t="s">
        <v>44</v>
      </c>
      <c r="C23" s="28" t="n">
        <v>0</v>
      </c>
      <c r="D23" s="28" t="n">
        <f aca="false">'Current Reality'!D7</f>
        <v>17</v>
      </c>
      <c r="E23" s="28" t="n">
        <f aca="false">'Current Reality'!D7</f>
        <v>17</v>
      </c>
    </row>
    <row r="26" customFormat="false" ht="15" hidden="false" customHeight="false" outlineLevel="0" collapsed="false">
      <c r="B26" s="2" t="s">
        <v>45</v>
      </c>
      <c r="C26" s="2"/>
      <c r="D26" s="2"/>
      <c r="E26" s="2"/>
    </row>
    <row r="27" customFormat="false" ht="15" hidden="false" customHeight="false" outlineLevel="0" collapsed="false">
      <c r="B27" s="29" t="s">
        <v>46</v>
      </c>
      <c r="C27" s="29"/>
      <c r="D27" s="29"/>
      <c r="E27" s="29"/>
    </row>
    <row r="28" customFormat="false" ht="15" hidden="false" customHeight="false" outlineLevel="0" collapsed="false">
      <c r="B28" s="30" t="s">
        <v>47</v>
      </c>
      <c r="C28" s="30"/>
      <c r="D28" s="30"/>
      <c r="E28" s="30"/>
    </row>
    <row r="29" customFormat="false" ht="15" hidden="false" customHeight="false" outlineLevel="0" collapsed="false">
      <c r="B29" s="29" t="s">
        <v>48</v>
      </c>
      <c r="C29" s="29"/>
      <c r="D29" s="29"/>
      <c r="E29" s="29"/>
    </row>
    <row r="30" customFormat="false" ht="15" hidden="false" customHeight="false" outlineLevel="0" collapsed="false">
      <c r="B30" s="30" t="s">
        <v>49</v>
      </c>
      <c r="C30" s="30"/>
      <c r="D30" s="30"/>
      <c r="E30" s="30"/>
    </row>
    <row r="31" customFormat="false" ht="15" hidden="false" customHeight="false" outlineLevel="0" collapsed="false">
      <c r="B31" s="29"/>
      <c r="C31" s="29"/>
      <c r="D31" s="29"/>
      <c r="E31" s="29"/>
    </row>
    <row r="32" customFormat="false" ht="15" hidden="false" customHeight="false" outlineLevel="0" collapsed="false">
      <c r="B32" s="29" t="s">
        <v>50</v>
      </c>
      <c r="C32" s="29"/>
      <c r="D32" s="29"/>
      <c r="E32" s="29"/>
    </row>
    <row r="33" customFormat="false" ht="15" hidden="false" customHeight="false" outlineLevel="0" collapsed="false">
      <c r="B33" s="31" t="s">
        <v>51</v>
      </c>
      <c r="C33" s="31"/>
      <c r="D33" s="31"/>
      <c r="E33" s="31"/>
    </row>
  </sheetData>
  <mergeCells count="9">
    <mergeCell ref="B2:E2"/>
    <mergeCell ref="B26:E26"/>
    <mergeCell ref="B27:E27"/>
    <mergeCell ref="B28:E28"/>
    <mergeCell ref="B29:E29"/>
    <mergeCell ref="B30:E30"/>
    <mergeCell ref="B31:E31"/>
    <mergeCell ref="B32:E32"/>
    <mergeCell ref="B33:E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5" min="4" style="0" width="20"/>
    <col collapsed="false" customWidth="true" hidden="false" outlineLevel="0" max="6" min="6" style="0" width="3"/>
  </cols>
  <sheetData>
    <row r="2" customFormat="false" ht="39.75" hidden="false" customHeight="true" outlineLevel="0" collapsed="false">
      <c r="B2" s="1" t="s">
        <v>52</v>
      </c>
      <c r="C2" s="1"/>
      <c r="D2" s="1"/>
      <c r="E2" s="1"/>
    </row>
    <row r="4" customFormat="false" ht="15" hidden="false" customHeight="false" outlineLevel="0" collapsed="false">
      <c r="B4" s="2" t="s">
        <v>53</v>
      </c>
      <c r="C4" s="2"/>
      <c r="D4" s="2"/>
      <c r="E4" s="2"/>
    </row>
    <row r="5" customFormat="false" ht="15" hidden="false" customHeight="false" outlineLevel="0" collapsed="false">
      <c r="B5" s="32" t="s">
        <v>54</v>
      </c>
      <c r="C5" s="32" t="s">
        <v>55</v>
      </c>
      <c r="D5" s="32" t="s">
        <v>56</v>
      </c>
      <c r="E5" s="32" t="s">
        <v>57</v>
      </c>
    </row>
    <row r="6" customFormat="false" ht="30" hidden="false" customHeight="true" outlineLevel="0" collapsed="false">
      <c r="B6" s="33" t="s">
        <v>58</v>
      </c>
      <c r="C6" s="4" t="s">
        <v>59</v>
      </c>
      <c r="D6" s="34" t="s">
        <v>60</v>
      </c>
      <c r="E6" s="33" t="s">
        <v>61</v>
      </c>
    </row>
    <row r="7" customFormat="false" ht="30" hidden="false" customHeight="true" outlineLevel="0" collapsed="false">
      <c r="B7" s="33" t="s">
        <v>58</v>
      </c>
      <c r="C7" s="4" t="s">
        <v>62</v>
      </c>
      <c r="D7" s="34" t="s">
        <v>63</v>
      </c>
      <c r="E7" s="33" t="s">
        <v>64</v>
      </c>
    </row>
    <row r="8" customFormat="false" ht="30" hidden="false" customHeight="true" outlineLevel="0" collapsed="false">
      <c r="B8" s="33" t="s">
        <v>58</v>
      </c>
      <c r="C8" s="4" t="s">
        <v>65</v>
      </c>
      <c r="D8" s="34" t="s">
        <v>66</v>
      </c>
      <c r="E8" s="33" t="s">
        <v>67</v>
      </c>
    </row>
    <row r="9" customFormat="false" ht="30" hidden="false" customHeight="true" outlineLevel="0" collapsed="false">
      <c r="B9" s="33" t="s">
        <v>58</v>
      </c>
      <c r="C9" s="4" t="s">
        <v>68</v>
      </c>
      <c r="D9" s="34" t="s">
        <v>69</v>
      </c>
      <c r="E9" s="33" t="s">
        <v>67</v>
      </c>
    </row>
    <row r="11" customFormat="false" ht="15" hidden="false" customHeight="false" outlineLevel="0" collapsed="false">
      <c r="B11" s="2" t="s">
        <v>70</v>
      </c>
      <c r="C11" s="2"/>
      <c r="D11" s="2"/>
      <c r="E11" s="2"/>
    </row>
    <row r="12" customFormat="false" ht="15" hidden="false" customHeight="false" outlineLevel="0" collapsed="false">
      <c r="B12" s="32" t="s">
        <v>54</v>
      </c>
      <c r="C12" s="32" t="s">
        <v>55</v>
      </c>
      <c r="D12" s="32" t="s">
        <v>56</v>
      </c>
      <c r="E12" s="32" t="s">
        <v>57</v>
      </c>
    </row>
    <row r="13" customFormat="false" ht="30" hidden="false" customHeight="true" outlineLevel="0" collapsed="false">
      <c r="B13" s="33" t="s">
        <v>58</v>
      </c>
      <c r="C13" s="4" t="s">
        <v>71</v>
      </c>
      <c r="D13" s="34" t="s">
        <v>72</v>
      </c>
      <c r="E13" s="33" t="s">
        <v>73</v>
      </c>
    </row>
    <row r="14" customFormat="false" ht="30" hidden="false" customHeight="true" outlineLevel="0" collapsed="false">
      <c r="B14" s="33" t="s">
        <v>58</v>
      </c>
      <c r="C14" s="4" t="s">
        <v>74</v>
      </c>
      <c r="D14" s="34" t="s">
        <v>75</v>
      </c>
      <c r="E14" s="33" t="s">
        <v>73</v>
      </c>
    </row>
    <row r="15" customFormat="false" ht="30" hidden="false" customHeight="true" outlineLevel="0" collapsed="false">
      <c r="B15" s="33" t="s">
        <v>58</v>
      </c>
      <c r="C15" s="4" t="s">
        <v>76</v>
      </c>
      <c r="D15" s="34" t="s">
        <v>77</v>
      </c>
      <c r="E15" s="33" t="s">
        <v>78</v>
      </c>
    </row>
    <row r="16" customFormat="false" ht="30" hidden="false" customHeight="true" outlineLevel="0" collapsed="false">
      <c r="B16" s="33" t="s">
        <v>58</v>
      </c>
      <c r="C16" s="4" t="s">
        <v>79</v>
      </c>
      <c r="D16" s="34" t="s">
        <v>80</v>
      </c>
      <c r="E16" s="33" t="s">
        <v>78</v>
      </c>
    </row>
    <row r="18" customFormat="false" ht="15" hidden="false" customHeight="false" outlineLevel="0" collapsed="false">
      <c r="B18" s="2" t="s">
        <v>81</v>
      </c>
      <c r="C18" s="2"/>
      <c r="D18" s="2"/>
      <c r="E18" s="2"/>
    </row>
    <row r="19" customFormat="false" ht="15" hidden="false" customHeight="false" outlineLevel="0" collapsed="false">
      <c r="B19" s="32" t="s">
        <v>54</v>
      </c>
      <c r="C19" s="32" t="s">
        <v>55</v>
      </c>
      <c r="D19" s="32" t="s">
        <v>56</v>
      </c>
      <c r="E19" s="32" t="s">
        <v>57</v>
      </c>
    </row>
    <row r="20" customFormat="false" ht="30" hidden="false" customHeight="true" outlineLevel="0" collapsed="false">
      <c r="B20" s="33" t="s">
        <v>58</v>
      </c>
      <c r="C20" s="4" t="s">
        <v>82</v>
      </c>
      <c r="D20" s="34" t="s">
        <v>83</v>
      </c>
      <c r="E20" s="33" t="s">
        <v>84</v>
      </c>
    </row>
    <row r="21" customFormat="false" ht="30" hidden="false" customHeight="true" outlineLevel="0" collapsed="false">
      <c r="B21" s="33" t="s">
        <v>58</v>
      </c>
      <c r="C21" s="4" t="s">
        <v>85</v>
      </c>
      <c r="D21" s="34" t="s">
        <v>86</v>
      </c>
      <c r="E21" s="33" t="s">
        <v>87</v>
      </c>
    </row>
    <row r="22" customFormat="false" ht="30" hidden="false" customHeight="true" outlineLevel="0" collapsed="false">
      <c r="B22" s="33" t="s">
        <v>58</v>
      </c>
      <c r="C22" s="4" t="s">
        <v>88</v>
      </c>
      <c r="D22" s="34" t="s">
        <v>89</v>
      </c>
      <c r="E22" s="33" t="s">
        <v>87</v>
      </c>
    </row>
    <row r="23" customFormat="false" ht="30" hidden="false" customHeight="true" outlineLevel="0" collapsed="false">
      <c r="B23" s="33" t="s">
        <v>58</v>
      </c>
      <c r="C23" s="4" t="s">
        <v>90</v>
      </c>
      <c r="D23" s="34" t="s">
        <v>91</v>
      </c>
      <c r="E23" s="33" t="s">
        <v>92</v>
      </c>
    </row>
    <row r="25" customFormat="false" ht="15" hidden="false" customHeight="false" outlineLevel="0" collapsed="false">
      <c r="B25" s="2" t="s">
        <v>93</v>
      </c>
      <c r="C25" s="2"/>
      <c r="D25" s="2"/>
      <c r="E25" s="2"/>
    </row>
    <row r="26" customFormat="false" ht="15" hidden="false" customHeight="false" outlineLevel="0" collapsed="false">
      <c r="B26" s="32" t="s">
        <v>54</v>
      </c>
      <c r="C26" s="32" t="s">
        <v>55</v>
      </c>
      <c r="D26" s="32" t="s">
        <v>56</v>
      </c>
      <c r="E26" s="32" t="s">
        <v>57</v>
      </c>
    </row>
    <row r="27" customFormat="false" ht="30" hidden="false" customHeight="true" outlineLevel="0" collapsed="false">
      <c r="B27" s="33" t="s">
        <v>58</v>
      </c>
      <c r="C27" s="4" t="s">
        <v>94</v>
      </c>
      <c r="D27" s="34" t="s">
        <v>95</v>
      </c>
      <c r="E27" s="33" t="s">
        <v>96</v>
      </c>
    </row>
    <row r="28" customFormat="false" ht="30" hidden="false" customHeight="true" outlineLevel="0" collapsed="false">
      <c r="B28" s="33" t="s">
        <v>58</v>
      </c>
      <c r="C28" s="4" t="s">
        <v>97</v>
      </c>
      <c r="D28" s="34" t="s">
        <v>98</v>
      </c>
      <c r="E28" s="33" t="s">
        <v>99</v>
      </c>
    </row>
    <row r="29" customFormat="false" ht="30" hidden="false" customHeight="true" outlineLevel="0" collapsed="false">
      <c r="B29" s="33" t="s">
        <v>58</v>
      </c>
      <c r="C29" s="4" t="s">
        <v>100</v>
      </c>
      <c r="D29" s="34" t="s">
        <v>101</v>
      </c>
      <c r="E29" s="33" t="s">
        <v>102</v>
      </c>
    </row>
    <row r="30" customFormat="false" ht="30" hidden="false" customHeight="true" outlineLevel="0" collapsed="false">
      <c r="B30" s="33" t="s">
        <v>58</v>
      </c>
      <c r="C30" s="4" t="s">
        <v>103</v>
      </c>
      <c r="D30" s="34" t="s">
        <v>104</v>
      </c>
      <c r="E30" s="33" t="s">
        <v>105</v>
      </c>
    </row>
  </sheetData>
  <mergeCells count="5">
    <mergeCell ref="B2:E2"/>
    <mergeCell ref="B4:E4"/>
    <mergeCell ref="B11:E11"/>
    <mergeCell ref="B18:E18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2026-04-22T10:23:19Z</dcterms:created>
  <dc:creator>openpyxl</dc:creator>
  <dc:description/>
  <dc:language>en-US</dc:language>
  <cp:lastModifiedBy/>
  <dcterms:modified xsi:type="dcterms:W3CDTF">2026-04-22T10:23:19Z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